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26B Detail" sheetId="2" state="visible" r:id="rId4"/>
    <sheet name="31B Detail" sheetId="3" state="visible" r:id="rId5"/>
    <sheet name="Cycled vs Unique" sheetId="4" state="visible" r:id="rId6"/>
    <sheet name="Caveats &amp; Open Questions" sheetId="5" state="visible" r:id="rId7"/>
    <sheet name="Chart Data" sheetId="6" state="visible" r:id="rId8"/>
    <sheet name="Char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<sst xmlns="http://schemas.openxmlformats.org/spreadsheetml/2006/main" count="158" uniqueCount="84">
  <si>
    <t xml:space="preserve">Gemma-4 Multimodal Benchmark (Customer PoC)s — 1×H100 80GB SXM, vLLM (gemma4-0505-cu129 build)</t>
  </si>
  <si>
    <t xml:space="preserve">Workload: customer attribute-extraction JSONL — system prompt + 1×480x480 image + user prompt; ~3.2K prompt tok (incl. image); 512 out (ignore_eos); unique dataset unless noted. Date: 2026-08-24.</t>
  </si>
  <si>
    <t xml:space="preserve">Headline — QPS at c=64 vs customer targets</t>
  </si>
  <si>
    <t xml:space="preserve">Workload</t>
  </si>
  <si>
    <t xml:space="preserve">customer baseline QPS</t>
  </si>
  <si>
    <t xml:space="preserve">Our baseline QPS</t>
  </si>
  <si>
    <t xml:space="preserve">Best measured QPS</t>
  </si>
  <si>
    <t xml:space="preserve">2x target QPS</t>
  </si>
  <si>
    <t xml:space="preserve">% of target</t>
  </si>
  <si>
    <t xml:space="preserve">Bound by</t>
  </si>
  <si>
    <t xml:space="preserve">Gemma-4 26B-A4B MoE</t>
  </si>
  <si>
    <t xml:space="preserve">prefill/vision compute</t>
  </si>
  <si>
    <t xml:space="preserve">Gemma-4 31B Dense</t>
  </si>
  <si>
    <t xml:space="preserve">KV cache capacity</t>
  </si>
  <si>
    <t xml:space="preserve">QPS relative to fp8-dynamic baseline (unique dataset)</t>
  </si>
  <si>
    <t xml:space="preserve">c1</t>
  </si>
  <si>
    <t xml:space="preserve">c16</t>
  </si>
  <si>
    <t xml:space="preserve">c64</t>
  </si>
  <si>
    <t xml:space="preserve">fp8-dynamic (baseline)*</t>
  </si>
  <si>
    <t xml:space="preserve">+ prefix cache + fp8 KV</t>
  </si>
  <si>
    <t xml:space="preserve">+ pc + fp8 KV + sched</t>
  </si>
  <si>
    <t xml:space="preserve">Reading: config switches move the 26B 0.97-1.00x (compute-bound, nothing to reclaim) and the 31B up to 1.21x at c64 (KV-bound; fp8 KV doubles cache 43K-&gt;86K tokens).</t>
  </si>
  <si>
    <t xml:space="preserve">Key findings</t>
  </si>
  <si>
    <t xml:space="preserve">1. Our single-GPU baselines meet or beat customer's reported numbers (26B 3.14 vs 2.2; 31B 0.88 vs 1.0 on a smaller-memory GPU). Their baselines are credible.</t>
  </si>
  <si>
    <t xml:space="preserve">2. 26B MoE is compute-bound: prefix caching, fp8 KV, and scheduler tuning all land within noise on unique traffic.</t>
  </si>
  <si>
    <t xml:space="preserve">3. Traffic pattern is worth 2x on the 26B (see Cycled vs Unique): repeat items lift c64 from 3.0 to 6.1 QPS via full-prompt caching.</t>
  </si>
  <si>
    <t xml:space="preserve">4. 31B dense is KV-capacity-bound (43K KV tokens = ~7 full-length requests); fp8 KV lifts c64 QPS +21% and cuts TTFT p50 43s -&gt; 7.5s.</t>
  </si>
  <si>
    <t xml:space="preserve">5. Scheduler tuning (gpu-mem-util 0.95, 16K batched tokens) adds nothing measurable on either model.</t>
  </si>
  <si>
    <t xml:space="preserve">6. Remaining levers are workload-level (image soft-token budget) and checkpoint-level (W4A16 QAT for 31B) — both pending customer input / next run.</t>
  </si>
  <si>
    <t xml:space="preserve">Gemma-4 26B-A4B MoE FP8-Dynamic — 1×H100 80GB, TP=1, customer attr-extraction (~3.2K in / 512 out, 1 image) — unique dataset (production-like)</t>
  </si>
  <si>
    <t xml:space="preserve">Config</t>
  </si>
  <si>
    <t xml:space="preserve">C</t>
  </si>
  <si>
    <t xml:space="preserve">Reqs</t>
  </si>
  <si>
    <t xml:space="preserve">Err</t>
  </si>
  <si>
    <t xml:space="preserve">QPS (req/s)</t>
  </si>
  <si>
    <t xml:space="preserve">Output tok/s</t>
  </si>
  <si>
    <t xml:space="preserve">Prompt tok/s</t>
  </si>
  <si>
    <t xml:space="preserve">TTFT p50 (ms)</t>
  </si>
  <si>
    <t xml:space="preserve">TTFT p95 (ms)</t>
  </si>
  <si>
    <t xml:space="preserve">TTFT p99 (ms)</t>
  </si>
  <si>
    <t xml:space="preserve">Lat p50 (s)</t>
  </si>
  <si>
    <t xml:space="preserve">Lat p99 (s)</t>
  </si>
  <si>
    <t xml:space="preserve">QPS vs baseline</t>
  </si>
  <si>
    <t xml:space="preserve">*baseline = FP8-Dynamic checkpoint, default vLLM config, prefix caching off</t>
  </si>
  <si>
    <t xml:space="preserve">Gemma-4 31B Dense FP8-Dynamic — 1×H100 80GB, TP=1, customer attr-extraction (~3.2K in / 512 out, 1 image) — unique dataset (production-like)</t>
  </si>
  <si>
    <t xml:space="preserve">Traffic-pattern sensitivity — 26B MoE, prefix cache + fp8 KV (same config, two datasets)</t>
  </si>
  <si>
    <t xml:space="preserve">Cycled = 100 samples repeated 10x (every prompt+image a cache hit after first pass). Unique = per-request perturbed images/text (only system prompt shareable).</t>
  </si>
  <si>
    <t xml:space="preserve">Dataset</t>
  </si>
  <si>
    <t xml:space="preserve">QPS ratio vs unique</t>
  </si>
  <si>
    <t xml:space="preserve">unique (production-like)</t>
  </si>
  <si>
    <t xml:space="preserve">cycled (repeat traffic)</t>
  </si>
  <si>
    <t xml:space="preserve">Takeaway: repeat-heavy traffic doubles 26B throughput (2.02x at c64). customer's production repeat-rate decides which number applies — open question #3.</t>
  </si>
  <si>
    <t xml:space="preserve">Caveats (attach to any number quoted from this workbook)</t>
  </si>
  <si>
    <t xml:space="preserve">Hardware parity: measured on H100 80GB SXM; spec is H100 NVL 94GB. 31B (KV-bound) numbers are pessimistic; 26B largely unaffected.</t>
  </si>
  <si>
    <t xml:space="preserve">Workload parity: real dataset ~3.2K prompt tokens vs 4K spec; 1 image/request vs 5-9 (up to 30+) spec. Awaiting customer clarification.</t>
  </si>
  <si>
    <t xml:space="preserve">QPS = successful requests / wall time under fixed concurrency, 60-90s sustained. the customer's measurement method for 2.2 / 1.0 unconfirmed.</t>
  </si>
  <si>
    <t xml:space="preserve">Residual 2-6 rejected requests per run (longest prompts; under investigation). Excluded from QPS; small nonzero effect.</t>
  </si>
  <si>
    <t xml:space="preserve">100 real samples cycled to 1000 requests; unique variant perturbs image bytes + text so only the system prompt is cache-shareable.</t>
  </si>
  <si>
    <t xml:space="preserve">Output fixed at 512 tokens (ignore_eos) per spec; natural stops would raise real-world QPS.</t>
  </si>
  <si>
    <t xml:space="preserve">Open questions for the customer</t>
  </si>
  <si>
    <t xml:space="preserve">1. Images per request: dataset shows 1; doc says 5-9 typical, up to 30+. Which is production?</t>
  </si>
  <si>
    <t xml:space="preserve">2. Gemma-4 per-image soft-token budget in production (70-1120 configurable) — main remaining 26B lever.</t>
  </si>
  <si>
    <t xml:space="preserve">3. Fraction of traffic re-processing recently seen items — decides whether 3.1 or up-to-6.1 QPS applies (26B).</t>
  </si>
  <si>
    <t xml:space="preserve">4. How were the 2.2 / 1.0 QPS baselines measured (tool, concurrency, duration)?</t>
  </si>
  <si>
    <t xml:space="preserve">5. Does the 4K input-token spec include image tokens?</t>
  </si>
  <si>
    <t xml:space="preserve">Source ranges for native charts — do not reorder rows</t>
  </si>
  <si>
    <t xml:space="preserve">26B QPS (req/s)</t>
  </si>
  <si>
    <t xml:space="preserve">concurrency</t>
  </si>
  <si>
    <t xml:space="preserve">baseline</t>
  </si>
  <si>
    <t xml:space="preserve">prefix cache + fp8 KV</t>
  </si>
  <si>
    <t xml:space="preserve">pc + fp8 KV + sched</t>
  </si>
  <si>
    <t xml:space="preserve">pc + fp8 KV (repeat traffic)</t>
  </si>
  <si>
    <t xml:space="preserve">customer baseline 2.2</t>
  </si>
  <si>
    <t xml:space="preserve">2x target 4.4</t>
  </si>
  <si>
    <t xml:space="preserve">31B QPS (req/s)</t>
  </si>
  <si>
    <t xml:space="preserve">customer baseline 1.0</t>
  </si>
  <si>
    <t xml:space="preserve">2x target 2.0</t>
  </si>
  <si>
    <t xml:space="preserve">31B TTFT (s)</t>
  </si>
  <si>
    <t xml:space="preserve">baseline TTFT p50 (s)</t>
  </si>
  <si>
    <t xml:space="preserve">baseline TTFT p99 (s)</t>
  </si>
  <si>
    <t xml:space="preserve">prefix cache + fp8 KV TTFT p50 (s)</t>
  </si>
  <si>
    <t xml:space="preserve">prefix cache + fp8 KV TTFT p99 (s)</t>
  </si>
  <si>
    <t xml:space="preserve">Native charts (render in Excel / Google Sheets / LibreOffice). Static PNG exports at row 60.</t>
  </si>
  <si>
    <t xml:space="preserve">Static exports (may not render in all viewers):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</si>
</sst>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%"/>
    <numFmt numFmtId="167" formatCode="0"/>
    <numFmt numFmtId="168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EB9C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C99"/>
      <rgbColor rgb="FF4A7EBB"/>
      <rgbColor rgb="FF46AAC4"/>
      <rgbColor rgb="FF98B855"/>
      <rgbColor rgb="FFFFCC00"/>
      <rgbColor rgb="FFF59240"/>
      <rgbColor rgb="FFFF6600"/>
      <rgbColor rgb="FF7D5FA0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Throughput vs Concurrency — Gemma-4 26B-A4B MoE FP8-Dynamic, 1xH100 80GB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"baseline"</c:f>
              <c:strCache>
                <c:ptCount val="1"/>
                <c:pt idx="0">
                  <c:v>baseline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'Chart Data'!$B$4:$D$4</c:f>
              <c:multiLvlStrCache>
                <c:ptCount val="1"/>
                <c:lvl>
                  <c:pt idx="0">
                    <c:v>64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'Chart Data'!$B$5:$D$5</c:f>
              <c:numCache>
                <c:formatCode>General</c:formatCode>
                <c:ptCount val="3"/>
                <c:pt idx="0">
                  <c:v>0.386</c:v>
                </c:pt>
                <c:pt idx="1">
                  <c:v>2.111</c:v>
                </c:pt>
                <c:pt idx="2">
                  <c:v>3.144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"prefix cache + fp8 KV"</c:f>
              <c:strCache>
                <c:ptCount val="1"/>
                <c:pt idx="0">
                  <c:v>prefix cache + fp8 KV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circle"/>
            <c:size val="6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'Chart Data'!$B$4:$D$4</c:f>
              <c:multiLvlStrCache>
                <c:ptCount val="1"/>
                <c:lvl>
                  <c:pt idx="0">
                    <c:v>64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'Chart Data'!$B$6:$D$6</c:f>
              <c:numCache>
                <c:formatCode>General</c:formatCode>
                <c:ptCount val="3"/>
                <c:pt idx="0">
                  <c:v>0.38</c:v>
                </c:pt>
                <c:pt idx="1">
                  <c:v>2.242</c:v>
                </c:pt>
                <c:pt idx="2">
                  <c:v>3.039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"pc + fp8 KV + sched"</c:f>
              <c:strCache>
                <c:ptCount val="1"/>
                <c:pt idx="0">
                  <c:v>pc + fp8 KV + sched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circle"/>
            <c:size val="6"/>
            <c:spPr>
              <a:solidFill>
                <a:srgbClr val="98b85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'Chart Data'!$B$4:$D$4</c:f>
              <c:multiLvlStrCache>
                <c:ptCount val="1"/>
                <c:lvl>
                  <c:pt idx="0">
                    <c:v>64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'Chart Data'!$B$7:$D$7</c:f>
              <c:numCache>
                <c:formatCode>General</c:formatCode>
                <c:ptCount val="3"/>
                <c:pt idx="0">
                  <c:v>0.381</c:v>
                </c:pt>
                <c:pt idx="1">
                  <c:v>2.238</c:v>
                </c:pt>
                <c:pt idx="2">
                  <c:v>3.123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"pc + fp8 KV (repeat traffic)"</c:f>
              <c:strCache>
                <c:ptCount val="1"/>
                <c:pt idx="0">
                  <c:v>pc + fp8 KV (repeat traffic)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'Chart Data'!$B$4:$D$4</c:f>
              <c:multiLvlStrCache>
                <c:ptCount val="1"/>
                <c:lvl>
                  <c:pt idx="0">
                    <c:v>64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'Chart Data'!$B$8:$D$8</c:f>
              <c:numCache>
                <c:formatCode>General</c:formatCode>
                <c:ptCount val="3"/>
                <c:pt idx="0">
                  <c:v>0.404</c:v>
                </c:pt>
                <c:pt idx="1">
                  <c:v>3.316</c:v>
                </c:pt>
                <c:pt idx="2">
                  <c:v>6.141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"customer baseline 2.2"</c:f>
              <c:strCache>
                <c:ptCount val="1"/>
                <c:pt idx="0">
                  <c:v>customer baseline 2.2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'Chart Data'!$B$4:$D$4</c:f>
              <c:multiLvlStrCache>
                <c:ptCount val="1"/>
                <c:lvl>
                  <c:pt idx="0">
                    <c:v>64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'Chart Data'!$B$9:$D$9</c:f>
              <c:numCache>
                <c:formatCode>General</c:formatCode>
                <c:ptCount val="3"/>
                <c:pt idx="0">
                  <c:v>2.2</c:v>
                </c:pt>
                <c:pt idx="1">
                  <c:v>2.2</c:v>
                </c:pt>
                <c:pt idx="2">
                  <c:v>2.2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"2x target 4.4"</c:f>
              <c:strCache>
                <c:ptCount val="1"/>
                <c:pt idx="0">
                  <c:v>2x target 4.4</c:v>
                </c:pt>
              </c:strCache>
            </c:strRef>
          </c:tx>
          <c:spPr>
            <a:solidFill>
              <a:srgbClr val="f59240"/>
            </a:solidFill>
            <a:ln w="28440">
              <a:solidFill>
                <a:srgbClr val="f5924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'Chart Data'!$B$4:$D$4</c:f>
              <c:multiLvlStrCache>
                <c:ptCount val="1"/>
                <c:lvl>
                  <c:pt idx="0">
                    <c:v>64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'Chart Data'!$B$10:$D$10</c:f>
              <c:numCache>
                <c:formatCode>General</c:formatCode>
                <c:ptCount val="3"/>
                <c:pt idx="0">
                  <c:v>4.4</c:v>
                </c:pt>
                <c:pt idx="1">
                  <c:v>4.4</c:v>
                </c:pt>
                <c:pt idx="2">
                  <c:v>4.4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46272598"/>
        <c:axId val="48887912"/>
      </c:lineChart>
      <c:catAx>
        <c:axId val="4627259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Concurrency (requests in flight)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887912"/>
        <c:crosses val="autoZero"/>
        <c:auto val="1"/>
        <c:lblAlgn val="ctr"/>
        <c:lblOffset val="100"/>
        <c:noMultiLvlLbl val="0"/>
      </c:catAx>
      <c:valAx>
        <c:axId val="488879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Throughput (req/s)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2725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Throughput vs Concurrency — Gemma-4 31B Dense FP8-Dynamic, 1xH100 80GB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"baseline"</c:f>
              <c:strCache>
                <c:ptCount val="1"/>
                <c:pt idx="0">
                  <c:v>baseline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'Chart Data'!$B$13:$D$13</c:f>
              <c:multiLvlStrCache>
                <c:ptCount val="1"/>
                <c:lvl>
                  <c:pt idx="0">
                    <c:v>64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'Chart Data'!$B$14:$D$14</c:f>
              <c:numCache>
                <c:formatCode>General</c:formatCode>
                <c:ptCount val="3"/>
                <c:pt idx="0">
                  <c:v>0.116</c:v>
                </c:pt>
                <c:pt idx="1">
                  <c:v>0.683</c:v>
                </c:pt>
                <c:pt idx="2">
                  <c:v>0.876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"prefix cache + fp8 KV"</c:f>
              <c:strCache>
                <c:ptCount val="1"/>
                <c:pt idx="0">
                  <c:v>prefix cache + fp8 KV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circle"/>
            <c:size val="6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'Chart Data'!$B$13:$D$13</c:f>
              <c:multiLvlStrCache>
                <c:ptCount val="1"/>
                <c:lvl>
                  <c:pt idx="0">
                    <c:v>64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'Chart Data'!$B$15:$D$15</c:f>
              <c:numCache>
                <c:formatCode>General</c:formatCode>
                <c:ptCount val="3"/>
                <c:pt idx="0">
                  <c:v>0.115</c:v>
                </c:pt>
                <c:pt idx="1">
                  <c:v>0.703</c:v>
                </c:pt>
                <c:pt idx="2">
                  <c:v>1.062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"pc + fp8 KV + sched"</c:f>
              <c:strCache>
                <c:ptCount val="1"/>
                <c:pt idx="0">
                  <c:v>pc + fp8 KV + sched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circle"/>
            <c:size val="6"/>
            <c:spPr>
              <a:solidFill>
                <a:srgbClr val="98b85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'Chart Data'!$B$13:$D$13</c:f>
              <c:multiLvlStrCache>
                <c:ptCount val="1"/>
                <c:lvl>
                  <c:pt idx="0">
                    <c:v>64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'Chart Data'!$B$16:$D$16</c:f>
              <c:numCache>
                <c:formatCode>General</c:formatCode>
                <c:ptCount val="3"/>
                <c:pt idx="0">
                  <c:v>0.117</c:v>
                </c:pt>
                <c:pt idx="1">
                  <c:v>0.656</c:v>
                </c:pt>
                <c:pt idx="2">
                  <c:v>1.057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"pc + fp8 KV (repeat traffic)"</c:f>
              <c:strCache>
                <c:ptCount val="1"/>
                <c:pt idx="0">
                  <c:v>pc + fp8 KV (repeat traffic)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'Chart Data'!$B$13:$D$13</c:f>
              <c:multiLvlStrCache>
                <c:ptCount val="1"/>
                <c:lvl>
                  <c:pt idx="0">
                    <c:v>64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'Chart Data'!$B$17:$D$17</c:f>
              <c:numCache>
                <c:formatCode>General</c:formatCode>
                <c:ptCount val="3"/>
                <c:pt idx="0">
                  <c:v>0.115</c:v>
                </c:pt>
                <c:pt idx="1">
                  <c:v>0.658</c:v>
                </c:pt>
                <c:pt idx="2">
                  <c:v>1.069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"customer baseline 1.0"</c:f>
              <c:strCache>
                <c:ptCount val="1"/>
                <c:pt idx="0">
                  <c:v>customer baseline 1.0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'Chart Data'!$B$13:$D$13</c:f>
              <c:multiLvlStrCache>
                <c:ptCount val="1"/>
                <c:lvl>
                  <c:pt idx="0">
                    <c:v>64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'Chart Data'!$B$18:$D$18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"2x target 2.0"</c:f>
              <c:strCache>
                <c:ptCount val="1"/>
                <c:pt idx="0">
                  <c:v>2x target 2.0</c:v>
                </c:pt>
              </c:strCache>
            </c:strRef>
          </c:tx>
          <c:spPr>
            <a:solidFill>
              <a:srgbClr val="f59240"/>
            </a:solidFill>
            <a:ln w="28440">
              <a:solidFill>
                <a:srgbClr val="f5924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'Chart Data'!$B$13:$D$13</c:f>
              <c:multiLvlStrCache>
                <c:ptCount val="1"/>
                <c:lvl>
                  <c:pt idx="0">
                    <c:v>64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'Chart Data'!$B$19:$D$19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95681691"/>
        <c:axId val="18861350"/>
      </c:lineChart>
      <c:catAx>
        <c:axId val="956816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Concurrency (requests in flight)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861350"/>
        <c:crosses val="autoZero"/>
        <c:auto val="1"/>
        <c:lblAlgn val="ctr"/>
        <c:lblOffset val="100"/>
        <c:noMultiLvlLbl val="0"/>
      </c:catAx>
      <c:valAx>
        <c:axId val="188613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Throughput (req/s)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6816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TTFT vs Concurrency — Gemma-4 31B FP8-Dynamic (p50 solid-ish, p99 listed)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"baseline TTFT p50 (s)"</c:f>
              <c:strCache>
                <c:ptCount val="1"/>
                <c:pt idx="0">
                  <c:v>baseline TTFT p50 (s)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'Chart Data'!$B$22:$D$22</c:f>
              <c:multiLvlStrCache>
                <c:ptCount val="1"/>
                <c:lvl>
                  <c:pt idx="0">
                    <c:v>64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'Chart Data'!$B$23:$D$23</c:f>
              <c:numCache>
                <c:formatCode>General</c:formatCode>
                <c:ptCount val="3"/>
                <c:pt idx="0">
                  <c:v>0.65</c:v>
                </c:pt>
                <c:pt idx="1">
                  <c:v>4.24</c:v>
                </c:pt>
                <c:pt idx="2">
                  <c:v>42.67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"baseline TTFT p99 (s)"</c:f>
              <c:strCache>
                <c:ptCount val="1"/>
                <c:pt idx="0">
                  <c:v>baseline TTFT p99 (s)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'Chart Data'!$B$22:$D$22</c:f>
              <c:multiLvlStrCache>
                <c:ptCount val="1"/>
                <c:lvl>
                  <c:pt idx="0">
                    <c:v>64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'Chart Data'!$B$24:$D$24</c:f>
              <c:numCache>
                <c:formatCode>General</c:formatCode>
                <c:ptCount val="3"/>
                <c:pt idx="0">
                  <c:v>0.89</c:v>
                </c:pt>
                <c:pt idx="1">
                  <c:v>8.71</c:v>
                </c:pt>
                <c:pt idx="2">
                  <c:v>60.89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"prefix cache + fp8 KV TTFT p50 (s)"</c:f>
              <c:strCache>
                <c:ptCount val="1"/>
                <c:pt idx="0">
                  <c:v>prefix cache + fp8 KV TTFT p50 (s)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circle"/>
            <c:size val="6"/>
            <c:spPr>
              <a:solidFill>
                <a:srgbClr val="98b85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'Chart Data'!$B$22:$D$22</c:f>
              <c:multiLvlStrCache>
                <c:ptCount val="1"/>
                <c:lvl>
                  <c:pt idx="0">
                    <c:v>64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'Chart Data'!$B$25:$D$25</c:f>
              <c:numCache>
                <c:formatCode>General</c:formatCode>
                <c:ptCount val="3"/>
                <c:pt idx="0">
                  <c:v>0.63</c:v>
                </c:pt>
                <c:pt idx="1">
                  <c:v>3.99</c:v>
                </c:pt>
                <c:pt idx="2">
                  <c:v>7.49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"prefix cache + fp8 KV TTFT p99 (s)"</c:f>
              <c:strCache>
                <c:ptCount val="1"/>
                <c:pt idx="0">
                  <c:v>prefix cache + fp8 KV TTFT p99 (s)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'Chart Data'!$B$22:$D$22</c:f>
              <c:multiLvlStrCache>
                <c:ptCount val="1"/>
                <c:lvl>
                  <c:pt idx="0">
                    <c:v>64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'Chart Data'!$B$26:$D$26</c:f>
              <c:numCache>
                <c:formatCode>General</c:formatCode>
                <c:ptCount val="3"/>
                <c:pt idx="0">
                  <c:v>0.87</c:v>
                </c:pt>
                <c:pt idx="1">
                  <c:v>8.43</c:v>
                </c:pt>
                <c:pt idx="2">
                  <c:v>35.08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57755061"/>
        <c:axId val="51951933"/>
      </c:lineChart>
      <c:catAx>
        <c:axId val="577550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Concurrency (requests in flight)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951933"/>
        <c:crosses val="autoZero"/>
        <c:auto val="1"/>
        <c:lblAlgn val="ctr"/>
        <c:lblOffset val="100"/>
        <c:noMultiLvlLbl val="0"/>
      </c:catAx>
      <c:valAx>
        <c:axId val="519519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Time to first token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7550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image1.png"/><Relationship Id="rId5" Type="http://schemas.openxmlformats.org/officeDocument/2006/relationships/image" Target="../media/image2.png"/><Relationship Id="rId6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10</xdr:col>
      <xdr:colOff>4680</xdr:colOff>
      <xdr:row>19</xdr:row>
      <xdr:rowOff>1080</xdr:rowOff>
    </xdr:to>
    <xdr:graphicFrame>
      <xdr:nvGraphicFramePr>
        <xdr:cNvPr id="0" name="Chart 1"/>
        <xdr:cNvGraphicFramePr/>
      </xdr:nvGraphicFramePr>
      <xdr:xfrm>
        <a:off x="0" y="38088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21</xdr:row>
      <xdr:rowOff>0</xdr:rowOff>
    </xdr:from>
    <xdr:to>
      <xdr:col>10</xdr:col>
      <xdr:colOff>4680</xdr:colOff>
      <xdr:row>38</xdr:row>
      <xdr:rowOff>1440</xdr:rowOff>
    </xdr:to>
    <xdr:graphicFrame>
      <xdr:nvGraphicFramePr>
        <xdr:cNvPr id="1" name="Chart 2"/>
        <xdr:cNvGraphicFramePr/>
      </xdr:nvGraphicFramePr>
      <xdr:xfrm>
        <a:off x="0" y="400068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40</xdr:row>
      <xdr:rowOff>0</xdr:rowOff>
    </xdr:from>
    <xdr:to>
      <xdr:col>10</xdr:col>
      <xdr:colOff>4680</xdr:colOff>
      <xdr:row>57</xdr:row>
      <xdr:rowOff>1080</xdr:rowOff>
    </xdr:to>
    <xdr:graphicFrame>
      <xdr:nvGraphicFramePr>
        <xdr:cNvPr id="2" name="Chart 3"/>
        <xdr:cNvGraphicFramePr/>
      </xdr:nvGraphicFramePr>
      <xdr:xfrm>
        <a:off x="0" y="762012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60</xdr:row>
      <xdr:rowOff>0</xdr:rowOff>
    </xdr:from>
    <xdr:to>
      <xdr:col>14</xdr:col>
      <xdr:colOff>11160</xdr:colOff>
      <xdr:row>82</xdr:row>
      <xdr:rowOff>94680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0" y="11430000"/>
          <a:ext cx="8572320" cy="4285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14</xdr:col>
      <xdr:colOff>11160</xdr:colOff>
      <xdr:row>107</xdr:row>
      <xdr:rowOff>94680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0" y="16192440"/>
          <a:ext cx="8572320" cy="4285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14</xdr:col>
      <xdr:colOff>11160</xdr:colOff>
      <xdr:row>132</xdr:row>
      <xdr:rowOff>94680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0" y="20954880"/>
          <a:ext cx="8572320" cy="42858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7"/>
    <col collapsed="false" customWidth="true" hidden="false" outlineLevel="0" max="4" min="3" style="0" width="15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22"/>
    <col collapsed="false" customWidth="true" hidden="false" outlineLevel="0" max="11" min="8" style="0" width="8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3.8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15" hidden="false" customHeight="false" outlineLevel="0" collapsed="false">
      <c r="A6" s="5" t="s">
        <v>10</v>
      </c>
      <c r="B6" s="6" t="n">
        <v>2.2</v>
      </c>
      <c r="C6" s="6" t="n">
        <f aca="false">'26B Detail'!E6</f>
        <v>3.144</v>
      </c>
      <c r="D6" s="7" t="n">
        <f aca="false">MAX('26B Detail'!E4:E12)</f>
        <v>3.144</v>
      </c>
      <c r="E6" s="6" t="n">
        <v>4.4</v>
      </c>
      <c r="F6" s="8" t="n">
        <f aca="false">D6/E6</f>
        <v>0.714545454545455</v>
      </c>
      <c r="G6" s="5" t="s">
        <v>11</v>
      </c>
    </row>
    <row r="7" customFormat="false" ht="15" hidden="false" customHeight="false" outlineLevel="0" collapsed="false">
      <c r="A7" s="5" t="s">
        <v>12</v>
      </c>
      <c r="B7" s="6" t="n">
        <v>1</v>
      </c>
      <c r="C7" s="6" t="n">
        <f aca="false">'31B Detail'!E6</f>
        <v>0.876</v>
      </c>
      <c r="D7" s="7" t="n">
        <f aca="false">MAX('31B Detail'!E4:E12)</f>
        <v>1.062</v>
      </c>
      <c r="E7" s="6" t="n">
        <v>2</v>
      </c>
      <c r="F7" s="8" t="n">
        <f aca="false">D7/E7</f>
        <v>0.531</v>
      </c>
      <c r="G7" s="5" t="s">
        <v>13</v>
      </c>
    </row>
    <row r="9" customFormat="false" ht="15" hidden="false" customHeight="false" outlineLevel="0" collapsed="false">
      <c r="A9" s="3" t="s">
        <v>14</v>
      </c>
    </row>
    <row r="10" customFormat="false" ht="15" hidden="false" customHeight="false" outlineLevel="0" collapsed="false">
      <c r="A10" s="3" t="s">
        <v>10</v>
      </c>
      <c r="G10" s="3" t="s">
        <v>12</v>
      </c>
    </row>
    <row r="11" customFormat="false" ht="15" hidden="false" customHeight="false" outlineLevel="0" collapsed="false">
      <c r="A11" s="4"/>
      <c r="B11" s="4" t="s">
        <v>15</v>
      </c>
      <c r="C11" s="4" t="s">
        <v>16</v>
      </c>
      <c r="D11" s="4" t="s">
        <v>17</v>
      </c>
      <c r="G11" s="4"/>
      <c r="H11" s="4" t="s">
        <v>15</v>
      </c>
      <c r="I11" s="4" t="s">
        <v>16</v>
      </c>
      <c r="J11" s="4" t="s">
        <v>17</v>
      </c>
    </row>
    <row r="12" customFormat="false" ht="15" hidden="false" customHeight="false" outlineLevel="0" collapsed="false">
      <c r="A12" s="9" t="s">
        <v>18</v>
      </c>
      <c r="B12" s="6" t="n">
        <f aca="false">'26B Detail'!E4/'26B Detail'!E4</f>
        <v>1</v>
      </c>
      <c r="C12" s="6" t="n">
        <f aca="false">'26B Detail'!E5/'26B Detail'!E5</f>
        <v>1</v>
      </c>
      <c r="D12" s="6" t="n">
        <f aca="false">'26B Detail'!E6/'26B Detail'!E6</f>
        <v>1</v>
      </c>
      <c r="G12" s="9" t="s">
        <v>18</v>
      </c>
      <c r="H12" s="6" t="n">
        <f aca="false">'31B Detail'!E4/'31B Detail'!E4</f>
        <v>1</v>
      </c>
      <c r="I12" s="6" t="n">
        <f aca="false">'31B Detail'!E5/'31B Detail'!E5</f>
        <v>1</v>
      </c>
      <c r="J12" s="6" t="n">
        <f aca="false">'31B Detail'!E6/'31B Detail'!E6</f>
        <v>1</v>
      </c>
    </row>
    <row r="13" customFormat="false" ht="15" hidden="false" customHeight="false" outlineLevel="0" collapsed="false">
      <c r="A13" s="9" t="s">
        <v>19</v>
      </c>
      <c r="B13" s="6" t="n">
        <f aca="false">'26B Detail'!E7/'26B Detail'!E4</f>
        <v>0.984455958549223</v>
      </c>
      <c r="C13" s="6" t="n">
        <f aca="false">'26B Detail'!E8/'26B Detail'!E5</f>
        <v>1.06205589767883</v>
      </c>
      <c r="D13" s="6" t="n">
        <f aca="false">'26B Detail'!E9/'26B Detail'!E6</f>
        <v>0.966603053435115</v>
      </c>
      <c r="G13" s="9" t="s">
        <v>19</v>
      </c>
      <c r="H13" s="6" t="n">
        <f aca="false">'31B Detail'!E7/'31B Detail'!E4</f>
        <v>0.991379310344828</v>
      </c>
      <c r="I13" s="6" t="n">
        <f aca="false">'31B Detail'!E8/'31B Detail'!E5</f>
        <v>1.02928257686676</v>
      </c>
      <c r="J13" s="6" t="n">
        <f aca="false">'31B Detail'!E9/'31B Detail'!E6</f>
        <v>1.21232876712329</v>
      </c>
    </row>
    <row r="14" customFormat="false" ht="15" hidden="false" customHeight="false" outlineLevel="0" collapsed="false">
      <c r="A14" s="9" t="s">
        <v>20</v>
      </c>
      <c r="B14" s="6" t="n">
        <f aca="false">'26B Detail'!E10/'26B Detail'!E4</f>
        <v>0.987046632124352</v>
      </c>
      <c r="C14" s="6" t="n">
        <f aca="false">'26B Detail'!E11/'26B Detail'!E5</f>
        <v>1.06016106110848</v>
      </c>
      <c r="D14" s="6" t="n">
        <f aca="false">'26B Detail'!E12/'26B Detail'!E6</f>
        <v>0.993320610687023</v>
      </c>
      <c r="G14" s="9" t="s">
        <v>20</v>
      </c>
      <c r="H14" s="6" t="n">
        <f aca="false">'31B Detail'!E10/'31B Detail'!E4</f>
        <v>1.00862068965517</v>
      </c>
      <c r="I14" s="6" t="n">
        <f aca="false">'31B Detail'!E11/'31B Detail'!E5</f>
        <v>0.960468521229868</v>
      </c>
      <c r="J14" s="6" t="n">
        <f aca="false">'31B Detail'!E12/'31B Detail'!E6</f>
        <v>1.20662100456621</v>
      </c>
    </row>
    <row r="16" customFormat="false" ht="15" hidden="false" customHeight="false" outlineLevel="0" collapsed="false">
      <c r="A16" s="2" t="s">
        <v>21</v>
      </c>
    </row>
    <row r="18" customFormat="false" ht="15" hidden="false" customHeight="false" outlineLevel="0" collapsed="false">
      <c r="A18" s="3" t="s">
        <v>22</v>
      </c>
    </row>
    <row r="19" customFormat="false" ht="24" hidden="false" customHeight="true" outlineLevel="0" collapsed="false">
      <c r="A19" s="10" t="s">
        <v>23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customFormat="false" ht="24" hidden="false" customHeight="true" outlineLevel="0" collapsed="false">
      <c r="A20" s="10" t="s">
        <v>24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customFormat="false" ht="24" hidden="false" customHeight="true" outlineLevel="0" collapsed="false">
      <c r="A21" s="10" t="s">
        <v>25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customFormat="false" ht="24" hidden="false" customHeight="true" outlineLevel="0" collapsed="false">
      <c r="A22" s="10" t="s">
        <v>26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customFormat="false" ht="24" hidden="false" customHeight="true" outlineLevel="0" collapsed="false">
      <c r="A23" s="10" t="s">
        <v>27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customFormat="false" ht="24" hidden="false" customHeight="true" outlineLevel="0" collapsed="false">
      <c r="A24" s="10" t="s">
        <v>28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</row>
  </sheetData>
  <mergeCells count="6">
    <mergeCell ref="A19:K19"/>
    <mergeCell ref="A20:K20"/>
    <mergeCell ref="A21:K21"/>
    <mergeCell ref="A22:K22"/>
    <mergeCell ref="A23:K23"/>
    <mergeCell ref="A24:K24"/>
  </mergeCells>
  <conditionalFormatting sqref="B12:D14">
    <cfRule type="colorScale" priority="2">
      <colorScale>
        <cfvo type="num" val="0.9"/>
        <cfvo type="num" val="1"/>
        <cfvo type="num" val="1.3"/>
        <color rgb="FFF8696B"/>
        <color rgb="FFFFFFFF"/>
        <color rgb="FF63BE7B"/>
      </colorScale>
    </cfRule>
  </conditionalFormatting>
  <conditionalFormatting sqref="H12:J14">
    <cfRule type="colorScale" priority="3">
      <colorScale>
        <cfvo type="num" val="0.9"/>
        <cfvo type="num" val="1"/>
        <cfvo type="num" val="1.3"/>
        <color rgb="FFF8696B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"/>
    <col collapsed="false" customWidth="true" hidden="false" outlineLevel="0" max="3" min="3" style="0" width="7"/>
    <col collapsed="false" customWidth="true" hidden="false" outlineLevel="0" max="4" min="4" style="0" width="6"/>
    <col collapsed="false" customWidth="true" hidden="false" outlineLevel="0" max="6" min="5" style="0" width="11"/>
    <col collapsed="false" customWidth="true" hidden="false" outlineLevel="0" max="10" min="7" style="0" width="12"/>
    <col collapsed="false" customWidth="true" hidden="false" outlineLevel="0" max="12" min="11" style="0" width="10"/>
    <col collapsed="false" customWidth="true" hidden="false" outlineLevel="0" max="13" min="13" style="0" width="3"/>
    <col collapsed="false" customWidth="true" hidden="false" outlineLevel="0" max="14" min="14" style="0" width="24"/>
    <col collapsed="false" customWidth="true" hidden="false" outlineLevel="0" max="17" min="15" style="0" width="8"/>
  </cols>
  <sheetData>
    <row r="1" customFormat="false" ht="16.15" hidden="false" customHeight="false" outlineLevel="0" collapsed="false">
      <c r="A1" s="1" t="s">
        <v>29</v>
      </c>
    </row>
    <row r="3" customFormat="false" ht="23.85" hidden="false" customHeight="false" outlineLevel="0" collapsed="false">
      <c r="A3" s="4" t="s">
        <v>30</v>
      </c>
      <c r="B3" s="4" t="s">
        <v>31</v>
      </c>
      <c r="C3" s="4" t="s">
        <v>32</v>
      </c>
      <c r="D3" s="4" t="s">
        <v>33</v>
      </c>
      <c r="E3" s="4" t="s">
        <v>34</v>
      </c>
      <c r="F3" s="4" t="s">
        <v>35</v>
      </c>
      <c r="G3" s="4" t="s">
        <v>36</v>
      </c>
      <c r="H3" s="4" t="s">
        <v>37</v>
      </c>
      <c r="I3" s="4" t="s">
        <v>38</v>
      </c>
      <c r="J3" s="4" t="s">
        <v>39</v>
      </c>
      <c r="K3" s="4" t="s">
        <v>40</v>
      </c>
      <c r="L3" s="4" t="s">
        <v>41</v>
      </c>
      <c r="N3" s="3" t="s">
        <v>42</v>
      </c>
    </row>
    <row r="4" customFormat="false" ht="15" hidden="false" customHeight="false" outlineLevel="0" collapsed="false">
      <c r="A4" s="11" t="s">
        <v>18</v>
      </c>
      <c r="B4" s="5" t="s">
        <v>15</v>
      </c>
      <c r="C4" s="5" t="n">
        <v>24</v>
      </c>
      <c r="D4" s="5" t="n">
        <v>0</v>
      </c>
      <c r="E4" s="6" t="n">
        <v>0.386</v>
      </c>
      <c r="F4" s="12" t="n">
        <v>197.5</v>
      </c>
      <c r="G4" s="12" t="n">
        <v>1207.1</v>
      </c>
      <c r="H4" s="12" t="n">
        <v>206</v>
      </c>
      <c r="I4" s="12" t="n">
        <v>232</v>
      </c>
      <c r="J4" s="12" t="n">
        <v>261</v>
      </c>
      <c r="K4" s="13" t="n">
        <v>2.6</v>
      </c>
      <c r="L4" s="13" t="n">
        <v>2.7</v>
      </c>
      <c r="N4" s="4"/>
      <c r="O4" s="4" t="s">
        <v>15</v>
      </c>
      <c r="P4" s="4" t="s">
        <v>16</v>
      </c>
      <c r="Q4" s="4" t="s">
        <v>17</v>
      </c>
    </row>
    <row r="5" customFormat="false" ht="15" hidden="false" customHeight="false" outlineLevel="0" collapsed="false">
      <c r="A5" s="11"/>
      <c r="B5" s="5" t="s">
        <v>16</v>
      </c>
      <c r="C5" s="5" t="n">
        <v>192</v>
      </c>
      <c r="D5" s="5" t="n">
        <v>4</v>
      </c>
      <c r="E5" s="6" t="n">
        <v>2.111</v>
      </c>
      <c r="F5" s="12" t="n">
        <v>1080.8</v>
      </c>
      <c r="G5" s="12" t="n">
        <v>7008.9</v>
      </c>
      <c r="H5" s="12" t="n">
        <v>1708</v>
      </c>
      <c r="I5" s="12" t="n">
        <v>2877</v>
      </c>
      <c r="J5" s="12" t="n">
        <v>3260</v>
      </c>
      <c r="K5" s="13" t="n">
        <v>7.5</v>
      </c>
      <c r="L5" s="13" t="n">
        <v>8.6</v>
      </c>
      <c r="N5" s="9" t="s">
        <v>18</v>
      </c>
      <c r="O5" s="6" t="n">
        <f aca="false">E4/E4</f>
        <v>1</v>
      </c>
      <c r="P5" s="6" t="n">
        <f aca="false">E5/E5</f>
        <v>1</v>
      </c>
      <c r="Q5" s="6" t="n">
        <f aca="false">E6/E6</f>
        <v>1</v>
      </c>
    </row>
    <row r="6" customFormat="false" ht="15" hidden="false" customHeight="false" outlineLevel="0" collapsed="false">
      <c r="A6" s="11"/>
      <c r="B6" s="5" t="s">
        <v>17</v>
      </c>
      <c r="C6" s="5" t="n">
        <v>317</v>
      </c>
      <c r="D6" s="5" t="n">
        <v>6</v>
      </c>
      <c r="E6" s="6" t="n">
        <v>3.144</v>
      </c>
      <c r="F6" s="12" t="n">
        <v>1609.6</v>
      </c>
      <c r="G6" s="12" t="n">
        <v>10392.9</v>
      </c>
      <c r="H6" s="12" t="n">
        <v>2541</v>
      </c>
      <c r="I6" s="12" t="n">
        <v>8147</v>
      </c>
      <c r="J6" s="12" t="n">
        <v>10259</v>
      </c>
      <c r="K6" s="13" t="n">
        <v>20.2</v>
      </c>
      <c r="L6" s="13" t="n">
        <v>28</v>
      </c>
      <c r="N6" s="9" t="s">
        <v>19</v>
      </c>
      <c r="O6" s="6" t="n">
        <f aca="false">E7/E4</f>
        <v>0.984455958549223</v>
      </c>
      <c r="P6" s="6" t="n">
        <f aca="false">E8/E5</f>
        <v>1.06205589767883</v>
      </c>
      <c r="Q6" s="6" t="n">
        <f aca="false">E9/E6</f>
        <v>0.966603053435115</v>
      </c>
    </row>
    <row r="7" customFormat="false" ht="15" hidden="false" customHeight="false" outlineLevel="0" collapsed="false">
      <c r="A7" s="11" t="s">
        <v>19</v>
      </c>
      <c r="B7" s="5" t="s">
        <v>15</v>
      </c>
      <c r="C7" s="5" t="n">
        <v>23</v>
      </c>
      <c r="D7" s="5" t="n">
        <v>0</v>
      </c>
      <c r="E7" s="6" t="n">
        <v>0.38</v>
      </c>
      <c r="F7" s="12" t="n">
        <v>194.5</v>
      </c>
      <c r="G7" s="12" t="n">
        <v>1180.4</v>
      </c>
      <c r="H7" s="12" t="n">
        <v>197</v>
      </c>
      <c r="I7" s="12" t="n">
        <v>224</v>
      </c>
      <c r="J7" s="12" t="n">
        <v>249</v>
      </c>
      <c r="K7" s="13" t="n">
        <v>2.6</v>
      </c>
      <c r="L7" s="13" t="n">
        <v>2.7</v>
      </c>
      <c r="N7" s="9" t="s">
        <v>20</v>
      </c>
      <c r="O7" s="6" t="n">
        <f aca="false">E10/E4</f>
        <v>0.987046632124352</v>
      </c>
      <c r="P7" s="6" t="n">
        <f aca="false">E11/E5</f>
        <v>1.06016106110848</v>
      </c>
      <c r="Q7" s="6" t="n">
        <f aca="false">E12/E6</f>
        <v>0.993320610687023</v>
      </c>
    </row>
    <row r="8" customFormat="false" ht="15" hidden="false" customHeight="false" outlineLevel="0" collapsed="false">
      <c r="A8" s="11"/>
      <c r="B8" s="5" t="s">
        <v>16</v>
      </c>
      <c r="C8" s="5" t="n">
        <v>208</v>
      </c>
      <c r="D8" s="5" t="n">
        <v>4</v>
      </c>
      <c r="E8" s="6" t="n">
        <v>2.242</v>
      </c>
      <c r="F8" s="12" t="n">
        <v>1147.8</v>
      </c>
      <c r="G8" s="12" t="n">
        <v>7455</v>
      </c>
      <c r="H8" s="12" t="n">
        <v>1232</v>
      </c>
      <c r="I8" s="12" t="n">
        <v>2490</v>
      </c>
      <c r="J8" s="12" t="n">
        <v>2748</v>
      </c>
      <c r="K8" s="13" t="n">
        <v>7.2</v>
      </c>
      <c r="L8" s="13" t="n">
        <v>8.9</v>
      </c>
    </row>
    <row r="9" customFormat="false" ht="15" hidden="false" customHeight="false" outlineLevel="0" collapsed="false">
      <c r="A9" s="11"/>
      <c r="B9" s="5" t="s">
        <v>17</v>
      </c>
      <c r="C9" s="5" t="n">
        <v>308</v>
      </c>
      <c r="D9" s="5" t="n">
        <v>6</v>
      </c>
      <c r="E9" s="6" t="n">
        <v>3.039</v>
      </c>
      <c r="F9" s="12" t="n">
        <v>1556</v>
      </c>
      <c r="G9" s="12" t="n">
        <v>10068.8</v>
      </c>
      <c r="H9" s="12" t="n">
        <v>2259</v>
      </c>
      <c r="I9" s="12" t="n">
        <v>7714</v>
      </c>
      <c r="J9" s="12" t="n">
        <v>9879</v>
      </c>
      <c r="K9" s="13" t="n">
        <v>20.8</v>
      </c>
      <c r="L9" s="13" t="n">
        <v>28.5</v>
      </c>
      <c r="N9" s="2" t="s">
        <v>43</v>
      </c>
    </row>
    <row r="10" customFormat="false" ht="15" hidden="false" customHeight="false" outlineLevel="0" collapsed="false">
      <c r="A10" s="11" t="s">
        <v>20</v>
      </c>
      <c r="B10" s="5" t="s">
        <v>15</v>
      </c>
      <c r="C10" s="5" t="n">
        <v>23</v>
      </c>
      <c r="D10" s="5" t="n">
        <v>0</v>
      </c>
      <c r="E10" s="6" t="n">
        <v>0.381</v>
      </c>
      <c r="F10" s="12" t="n">
        <v>195.3</v>
      </c>
      <c r="G10" s="12" t="n">
        <v>1184.9</v>
      </c>
      <c r="H10" s="12" t="n">
        <v>197</v>
      </c>
      <c r="I10" s="12" t="n">
        <v>225</v>
      </c>
      <c r="J10" s="12" t="n">
        <v>247</v>
      </c>
      <c r="K10" s="13" t="n">
        <v>2.6</v>
      </c>
      <c r="L10" s="13" t="n">
        <v>2.7</v>
      </c>
    </row>
    <row r="11" customFormat="false" ht="15" hidden="false" customHeight="false" outlineLevel="0" collapsed="false">
      <c r="A11" s="11"/>
      <c r="B11" s="5" t="s">
        <v>16</v>
      </c>
      <c r="C11" s="5" t="n">
        <v>208</v>
      </c>
      <c r="D11" s="5" t="n">
        <v>4</v>
      </c>
      <c r="E11" s="6" t="n">
        <v>2.238</v>
      </c>
      <c r="F11" s="12" t="n">
        <v>1145.9</v>
      </c>
      <c r="G11" s="12" t="n">
        <v>7426.8</v>
      </c>
      <c r="H11" s="12" t="n">
        <v>1178</v>
      </c>
      <c r="I11" s="12" t="n">
        <v>2033</v>
      </c>
      <c r="J11" s="12" t="n">
        <v>2083</v>
      </c>
      <c r="K11" s="13" t="n">
        <v>7.3</v>
      </c>
      <c r="L11" s="13" t="n">
        <v>8.3</v>
      </c>
    </row>
    <row r="12" customFormat="false" ht="15" hidden="false" customHeight="false" outlineLevel="0" collapsed="false">
      <c r="A12" s="11"/>
      <c r="B12" s="5" t="s">
        <v>17</v>
      </c>
      <c r="C12" s="5" t="n">
        <v>320</v>
      </c>
      <c r="D12" s="5" t="n">
        <v>6</v>
      </c>
      <c r="E12" s="6" t="n">
        <v>3.123</v>
      </c>
      <c r="F12" s="12" t="n">
        <v>1598.8</v>
      </c>
      <c r="G12" s="12" t="n">
        <v>10317.4</v>
      </c>
      <c r="H12" s="12" t="n">
        <v>3637</v>
      </c>
      <c r="I12" s="12" t="n">
        <v>7672</v>
      </c>
      <c r="J12" s="12" t="n">
        <v>10059</v>
      </c>
      <c r="K12" s="13" t="n">
        <v>20.6</v>
      </c>
      <c r="L12" s="13" t="n">
        <v>26.6</v>
      </c>
    </row>
  </sheetData>
  <conditionalFormatting sqref="O5:Q7">
    <cfRule type="colorScale" priority="2">
      <colorScale>
        <cfvo type="num" val="0.9"/>
        <cfvo type="num" val="1"/>
        <cfvo type="num" val="1.3"/>
        <color rgb="FFF8696B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"/>
    <col collapsed="false" customWidth="true" hidden="false" outlineLevel="0" max="3" min="3" style="0" width="7"/>
    <col collapsed="false" customWidth="true" hidden="false" outlineLevel="0" max="4" min="4" style="0" width="6"/>
    <col collapsed="false" customWidth="true" hidden="false" outlineLevel="0" max="6" min="5" style="0" width="11"/>
    <col collapsed="false" customWidth="true" hidden="false" outlineLevel="0" max="10" min="7" style="0" width="12"/>
    <col collapsed="false" customWidth="true" hidden="false" outlineLevel="0" max="12" min="11" style="0" width="10"/>
    <col collapsed="false" customWidth="true" hidden="false" outlineLevel="0" max="13" min="13" style="0" width="3"/>
    <col collapsed="false" customWidth="true" hidden="false" outlineLevel="0" max="14" min="14" style="0" width="24"/>
    <col collapsed="false" customWidth="true" hidden="false" outlineLevel="0" max="17" min="15" style="0" width="8"/>
  </cols>
  <sheetData>
    <row r="1" customFormat="false" ht="16.15" hidden="false" customHeight="false" outlineLevel="0" collapsed="false">
      <c r="A1" s="1" t="s">
        <v>44</v>
      </c>
    </row>
    <row r="3" customFormat="false" ht="23.85" hidden="false" customHeight="false" outlineLevel="0" collapsed="false">
      <c r="A3" s="4" t="s">
        <v>30</v>
      </c>
      <c r="B3" s="4" t="s">
        <v>31</v>
      </c>
      <c r="C3" s="4" t="s">
        <v>32</v>
      </c>
      <c r="D3" s="4" t="s">
        <v>33</v>
      </c>
      <c r="E3" s="4" t="s">
        <v>34</v>
      </c>
      <c r="F3" s="4" t="s">
        <v>35</v>
      </c>
      <c r="G3" s="4" t="s">
        <v>36</v>
      </c>
      <c r="H3" s="4" t="s">
        <v>37</v>
      </c>
      <c r="I3" s="4" t="s">
        <v>38</v>
      </c>
      <c r="J3" s="4" t="s">
        <v>39</v>
      </c>
      <c r="K3" s="4" t="s">
        <v>40</v>
      </c>
      <c r="L3" s="4" t="s">
        <v>41</v>
      </c>
      <c r="N3" s="3" t="s">
        <v>42</v>
      </c>
    </row>
    <row r="4" customFormat="false" ht="15" hidden="false" customHeight="false" outlineLevel="0" collapsed="false">
      <c r="A4" s="11" t="s">
        <v>18</v>
      </c>
      <c r="B4" s="5" t="s">
        <v>15</v>
      </c>
      <c r="C4" s="5" t="n">
        <v>7</v>
      </c>
      <c r="D4" s="5" t="n">
        <v>0</v>
      </c>
      <c r="E4" s="6" t="n">
        <v>0.116</v>
      </c>
      <c r="F4" s="12" t="n">
        <v>59.5</v>
      </c>
      <c r="G4" s="12" t="n">
        <v>372.3</v>
      </c>
      <c r="H4" s="12" t="n">
        <v>653</v>
      </c>
      <c r="I4" s="12" t="n">
        <v>846</v>
      </c>
      <c r="J4" s="12" t="n">
        <v>887</v>
      </c>
      <c r="K4" s="13" t="n">
        <v>8.6</v>
      </c>
      <c r="L4" s="13" t="n">
        <v>9</v>
      </c>
      <c r="N4" s="4"/>
      <c r="O4" s="4" t="s">
        <v>15</v>
      </c>
      <c r="P4" s="4" t="s">
        <v>16</v>
      </c>
      <c r="Q4" s="4" t="s">
        <v>17</v>
      </c>
    </row>
    <row r="5" customFormat="false" ht="15" hidden="false" customHeight="false" outlineLevel="0" collapsed="false">
      <c r="A5" s="11"/>
      <c r="B5" s="5" t="s">
        <v>16</v>
      </c>
      <c r="C5" s="5" t="n">
        <v>73</v>
      </c>
      <c r="D5" s="5" t="n">
        <v>2</v>
      </c>
      <c r="E5" s="6" t="n">
        <v>0.683</v>
      </c>
      <c r="F5" s="12" t="n">
        <v>349.9</v>
      </c>
      <c r="G5" s="12" t="n">
        <v>2257.3</v>
      </c>
      <c r="H5" s="12" t="n">
        <v>4241</v>
      </c>
      <c r="I5" s="12" t="n">
        <v>7773</v>
      </c>
      <c r="J5" s="12" t="n">
        <v>8715</v>
      </c>
      <c r="K5" s="13" t="n">
        <v>21.7</v>
      </c>
      <c r="L5" s="13" t="n">
        <v>26.1</v>
      </c>
      <c r="N5" s="9" t="s">
        <v>18</v>
      </c>
      <c r="O5" s="6" t="n">
        <f aca="false">E4/E4</f>
        <v>1</v>
      </c>
      <c r="P5" s="6" t="n">
        <f aca="false">E5/E5</f>
        <v>1</v>
      </c>
      <c r="Q5" s="6" t="n">
        <f aca="false">E6/E6</f>
        <v>1</v>
      </c>
    </row>
    <row r="6" customFormat="false" ht="15" hidden="false" customHeight="false" outlineLevel="0" collapsed="false">
      <c r="A6" s="11"/>
      <c r="B6" s="5" t="s">
        <v>17</v>
      </c>
      <c r="C6" s="5" t="n">
        <v>127</v>
      </c>
      <c r="D6" s="5" t="n">
        <v>2</v>
      </c>
      <c r="E6" s="6" t="n">
        <v>0.876</v>
      </c>
      <c r="F6" s="12" t="n">
        <v>448.3</v>
      </c>
      <c r="G6" s="12" t="n">
        <v>2891.1</v>
      </c>
      <c r="H6" s="12" t="n">
        <v>42668</v>
      </c>
      <c r="I6" s="12" t="n">
        <v>49802</v>
      </c>
      <c r="J6" s="12" t="n">
        <v>60888</v>
      </c>
      <c r="K6" s="13" t="n">
        <v>72.5</v>
      </c>
      <c r="L6" s="13" t="n">
        <v>95.9</v>
      </c>
      <c r="N6" s="9" t="s">
        <v>19</v>
      </c>
      <c r="O6" s="6" t="n">
        <f aca="false">E7/E4</f>
        <v>0.991379310344828</v>
      </c>
      <c r="P6" s="6" t="n">
        <f aca="false">E8/E5</f>
        <v>1.02928257686676</v>
      </c>
      <c r="Q6" s="6" t="n">
        <f aca="false">E9/E6</f>
        <v>1.21232876712329</v>
      </c>
    </row>
    <row r="7" customFormat="false" ht="15" hidden="false" customHeight="false" outlineLevel="0" collapsed="false">
      <c r="A7" s="11" t="s">
        <v>19</v>
      </c>
      <c r="B7" s="5" t="s">
        <v>15</v>
      </c>
      <c r="C7" s="5" t="n">
        <v>7</v>
      </c>
      <c r="D7" s="5" t="n">
        <v>0</v>
      </c>
      <c r="E7" s="6" t="n">
        <v>0.115</v>
      </c>
      <c r="F7" s="12" t="n">
        <v>59.1</v>
      </c>
      <c r="G7" s="12" t="n">
        <v>369.7</v>
      </c>
      <c r="H7" s="12" t="n">
        <v>629</v>
      </c>
      <c r="I7" s="12" t="n">
        <v>831</v>
      </c>
      <c r="J7" s="12" t="n">
        <v>874</v>
      </c>
      <c r="K7" s="13" t="n">
        <v>8.7</v>
      </c>
      <c r="L7" s="13" t="n">
        <v>9</v>
      </c>
      <c r="N7" s="9" t="s">
        <v>20</v>
      </c>
      <c r="O7" s="6" t="n">
        <f aca="false">E10/E4</f>
        <v>1.00862068965517</v>
      </c>
      <c r="P7" s="6" t="n">
        <f aca="false">E11/E5</f>
        <v>0.960468521229868</v>
      </c>
      <c r="Q7" s="6" t="n">
        <f aca="false">E12/E6</f>
        <v>1.20662100456621</v>
      </c>
    </row>
    <row r="8" customFormat="false" ht="15" hidden="false" customHeight="false" outlineLevel="0" collapsed="false">
      <c r="A8" s="11"/>
      <c r="B8" s="5" t="s">
        <v>16</v>
      </c>
      <c r="C8" s="5" t="n">
        <v>64</v>
      </c>
      <c r="D8" s="5" t="n">
        <v>0</v>
      </c>
      <c r="E8" s="6" t="n">
        <v>0.703</v>
      </c>
      <c r="F8" s="12" t="n">
        <v>360</v>
      </c>
      <c r="G8" s="12" t="n">
        <v>2266.8</v>
      </c>
      <c r="H8" s="12" t="n">
        <v>3990</v>
      </c>
      <c r="I8" s="12" t="n">
        <v>7349</v>
      </c>
      <c r="J8" s="12" t="n">
        <v>8428</v>
      </c>
      <c r="K8" s="13" t="n">
        <v>23</v>
      </c>
      <c r="L8" s="13" t="n">
        <v>26.5</v>
      </c>
    </row>
    <row r="9" customFormat="false" ht="15" hidden="false" customHeight="false" outlineLevel="0" collapsed="false">
      <c r="A9" s="11"/>
      <c r="B9" s="5" t="s">
        <v>17</v>
      </c>
      <c r="C9" s="5" t="n">
        <v>125</v>
      </c>
      <c r="D9" s="5" t="n">
        <v>2</v>
      </c>
      <c r="E9" s="6" t="n">
        <v>1.062</v>
      </c>
      <c r="F9" s="12" t="n">
        <v>543.7</v>
      </c>
      <c r="G9" s="12" t="n">
        <v>3500.4</v>
      </c>
      <c r="H9" s="12" t="n">
        <v>7486</v>
      </c>
      <c r="I9" s="12" t="n">
        <v>31432</v>
      </c>
      <c r="J9" s="12" t="n">
        <v>35078</v>
      </c>
      <c r="K9" s="13" t="n">
        <v>59</v>
      </c>
      <c r="L9" s="13" t="n">
        <v>91</v>
      </c>
      <c r="N9" s="2" t="s">
        <v>43</v>
      </c>
    </row>
    <row r="10" customFormat="false" ht="15" hidden="false" customHeight="false" outlineLevel="0" collapsed="false">
      <c r="A10" s="11" t="s">
        <v>20</v>
      </c>
      <c r="B10" s="5" t="s">
        <v>15</v>
      </c>
      <c r="C10" s="5" t="n">
        <v>8</v>
      </c>
      <c r="D10" s="5" t="n">
        <v>0</v>
      </c>
      <c r="E10" s="6" t="n">
        <v>0.117</v>
      </c>
      <c r="F10" s="12" t="n">
        <v>59.8</v>
      </c>
      <c r="G10" s="12" t="n">
        <v>376</v>
      </c>
      <c r="H10" s="12" t="n">
        <v>586</v>
      </c>
      <c r="I10" s="12" t="n">
        <v>801</v>
      </c>
      <c r="J10" s="12" t="n">
        <v>845</v>
      </c>
      <c r="K10" s="13" t="n">
        <v>8.5</v>
      </c>
      <c r="L10" s="13" t="n">
        <v>8.9</v>
      </c>
    </row>
    <row r="11" customFormat="false" ht="15" hidden="false" customHeight="false" outlineLevel="0" collapsed="false">
      <c r="A11" s="11"/>
      <c r="B11" s="5" t="s">
        <v>16</v>
      </c>
      <c r="C11" s="5" t="n">
        <v>65</v>
      </c>
      <c r="D11" s="5" t="n">
        <v>2</v>
      </c>
      <c r="E11" s="6" t="n">
        <v>0.656</v>
      </c>
      <c r="F11" s="12" t="n">
        <v>335.9</v>
      </c>
      <c r="G11" s="12" t="n">
        <v>2137.9</v>
      </c>
      <c r="H11" s="12" t="n">
        <v>4476</v>
      </c>
      <c r="I11" s="12" t="n">
        <v>8150</v>
      </c>
      <c r="J11" s="12" t="n">
        <v>8601</v>
      </c>
      <c r="K11" s="13" t="n">
        <v>23.2</v>
      </c>
      <c r="L11" s="13" t="n">
        <v>26.5</v>
      </c>
    </row>
    <row r="12" customFormat="false" ht="15" hidden="false" customHeight="false" outlineLevel="0" collapsed="false">
      <c r="A12" s="11"/>
      <c r="B12" s="5" t="s">
        <v>17</v>
      </c>
      <c r="C12" s="5" t="n">
        <v>128</v>
      </c>
      <c r="D12" s="5" t="n">
        <v>2</v>
      </c>
      <c r="E12" s="6" t="n">
        <v>1.057</v>
      </c>
      <c r="F12" s="12" t="n">
        <v>541.3</v>
      </c>
      <c r="G12" s="12" t="n">
        <v>3493.2</v>
      </c>
      <c r="H12" s="12" t="n">
        <v>12400</v>
      </c>
      <c r="I12" s="12" t="n">
        <v>30610</v>
      </c>
      <c r="J12" s="12" t="n">
        <v>33803</v>
      </c>
      <c r="K12" s="13" t="n">
        <v>60.4</v>
      </c>
      <c r="L12" s="13" t="n">
        <v>86.8</v>
      </c>
    </row>
  </sheetData>
  <conditionalFormatting sqref="O5:Q7">
    <cfRule type="colorScale" priority="2">
      <colorScale>
        <cfvo type="num" val="0.9"/>
        <cfvo type="num" val="1"/>
        <cfvo type="num" val="1.3"/>
        <color rgb="FFF8696B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8"/>
  </cols>
  <sheetData>
    <row r="1" customFormat="false" ht="16.15" hidden="false" customHeight="false" outlineLevel="0" collapsed="false">
      <c r="A1" s="1" t="s">
        <v>45</v>
      </c>
    </row>
    <row r="2" customFormat="false" ht="15" hidden="false" customHeight="false" outlineLevel="0" collapsed="false">
      <c r="A2" s="2" t="s">
        <v>46</v>
      </c>
    </row>
    <row r="4" customFormat="false" ht="15" hidden="false" customHeight="false" outlineLevel="0" collapsed="false">
      <c r="A4" s="4" t="s">
        <v>47</v>
      </c>
      <c r="B4" s="4" t="s">
        <v>31</v>
      </c>
      <c r="C4" s="4" t="s">
        <v>34</v>
      </c>
      <c r="D4" s="4" t="s">
        <v>37</v>
      </c>
      <c r="E4" s="4" t="s">
        <v>40</v>
      </c>
      <c r="F4" s="4" t="s">
        <v>48</v>
      </c>
    </row>
    <row r="5" customFormat="false" ht="15" hidden="false" customHeight="false" outlineLevel="0" collapsed="false">
      <c r="A5" s="11" t="s">
        <v>49</v>
      </c>
      <c r="B5" s="5" t="s">
        <v>15</v>
      </c>
      <c r="C5" s="6" t="n">
        <v>0.38</v>
      </c>
      <c r="D5" s="12" t="n">
        <v>197</v>
      </c>
      <c r="E5" s="13" t="n">
        <v>2.6</v>
      </c>
      <c r="F5" s="6" t="n">
        <v>1</v>
      </c>
    </row>
    <row r="6" customFormat="false" ht="15" hidden="false" customHeight="false" outlineLevel="0" collapsed="false">
      <c r="A6" s="11"/>
      <c r="B6" s="5" t="s">
        <v>16</v>
      </c>
      <c r="C6" s="6" t="n">
        <v>2.242</v>
      </c>
      <c r="D6" s="12" t="n">
        <v>1232</v>
      </c>
      <c r="E6" s="13" t="n">
        <v>7.2</v>
      </c>
      <c r="F6" s="6" t="n">
        <v>1</v>
      </c>
    </row>
    <row r="7" customFormat="false" ht="15" hidden="false" customHeight="false" outlineLevel="0" collapsed="false">
      <c r="A7" s="11"/>
      <c r="B7" s="5" t="s">
        <v>17</v>
      </c>
      <c r="C7" s="6" t="n">
        <v>3.039</v>
      </c>
      <c r="D7" s="12" t="n">
        <v>2259</v>
      </c>
      <c r="E7" s="13" t="n">
        <v>20.8</v>
      </c>
      <c r="F7" s="6" t="n">
        <v>1</v>
      </c>
    </row>
    <row r="8" customFormat="false" ht="15" hidden="false" customHeight="false" outlineLevel="0" collapsed="false">
      <c r="A8" s="11" t="s">
        <v>50</v>
      </c>
      <c r="B8" s="5" t="s">
        <v>15</v>
      </c>
      <c r="C8" s="6" t="n">
        <v>0.404</v>
      </c>
      <c r="D8" s="12" t="n">
        <v>39</v>
      </c>
      <c r="E8" s="13" t="n">
        <v>2.5</v>
      </c>
      <c r="F8" s="14" t="n">
        <f aca="false">C8/C5</f>
        <v>1.06315789473684</v>
      </c>
    </row>
    <row r="9" customFormat="false" ht="15" hidden="false" customHeight="false" outlineLevel="0" collapsed="false">
      <c r="A9" s="11"/>
      <c r="B9" s="5" t="s">
        <v>16</v>
      </c>
      <c r="C9" s="6" t="n">
        <v>3.316</v>
      </c>
      <c r="D9" s="12" t="n">
        <v>80</v>
      </c>
      <c r="E9" s="13" t="n">
        <v>4.8</v>
      </c>
      <c r="F9" s="14" t="n">
        <f aca="false">C9/C6</f>
        <v>1.47903657448707</v>
      </c>
    </row>
    <row r="10" customFormat="false" ht="15" hidden="false" customHeight="false" outlineLevel="0" collapsed="false">
      <c r="A10" s="11"/>
      <c r="B10" s="5" t="s">
        <v>17</v>
      </c>
      <c r="C10" s="6" t="n">
        <v>6.141</v>
      </c>
      <c r="D10" s="12" t="n">
        <v>133</v>
      </c>
      <c r="E10" s="13" t="n">
        <v>10.4</v>
      </c>
      <c r="F10" s="14" t="n">
        <f aca="false">C10/C7</f>
        <v>2.02073050345508</v>
      </c>
    </row>
    <row r="12" customFormat="false" ht="15" hidden="false" customHeight="false" outlineLevel="0" collapsed="false">
      <c r="A12" s="9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1" t="s">
        <v>52</v>
      </c>
    </row>
    <row r="3" customFormat="false" ht="27.75" hidden="false" customHeight="true" outlineLevel="0" collapsed="false">
      <c r="A3" s="10" t="s">
        <v>53</v>
      </c>
      <c r="B3" s="10"/>
      <c r="C3" s="10"/>
      <c r="D3" s="10"/>
      <c r="E3" s="10"/>
      <c r="F3" s="10"/>
      <c r="G3" s="10"/>
      <c r="H3" s="10"/>
    </row>
    <row r="4" customFormat="false" ht="27.75" hidden="false" customHeight="true" outlineLevel="0" collapsed="false">
      <c r="A4" s="10" t="s">
        <v>54</v>
      </c>
      <c r="B4" s="10"/>
      <c r="C4" s="10"/>
      <c r="D4" s="10"/>
      <c r="E4" s="10"/>
      <c r="F4" s="10"/>
      <c r="G4" s="10"/>
      <c r="H4" s="10"/>
    </row>
    <row r="5" customFormat="false" ht="27.75" hidden="false" customHeight="true" outlineLevel="0" collapsed="false">
      <c r="A5" s="10" t="s">
        <v>55</v>
      </c>
      <c r="B5" s="10"/>
      <c r="C5" s="10"/>
      <c r="D5" s="10"/>
      <c r="E5" s="10"/>
      <c r="F5" s="10"/>
      <c r="G5" s="10"/>
      <c r="H5" s="10"/>
    </row>
    <row r="6" customFormat="false" ht="27.75" hidden="false" customHeight="true" outlineLevel="0" collapsed="false">
      <c r="A6" s="10" t="s">
        <v>56</v>
      </c>
      <c r="B6" s="10"/>
      <c r="C6" s="10"/>
      <c r="D6" s="10"/>
      <c r="E6" s="10"/>
      <c r="F6" s="10"/>
      <c r="G6" s="10"/>
      <c r="H6" s="10"/>
    </row>
    <row r="7" customFormat="false" ht="27.75" hidden="false" customHeight="true" outlineLevel="0" collapsed="false">
      <c r="A7" s="10" t="s">
        <v>57</v>
      </c>
      <c r="B7" s="10"/>
      <c r="C7" s="10"/>
      <c r="D7" s="10"/>
      <c r="E7" s="10"/>
      <c r="F7" s="10"/>
      <c r="G7" s="10"/>
      <c r="H7" s="10"/>
    </row>
    <row r="8" customFormat="false" ht="27.75" hidden="false" customHeight="true" outlineLevel="0" collapsed="false">
      <c r="A8" s="10" t="s">
        <v>58</v>
      </c>
      <c r="B8" s="10"/>
      <c r="C8" s="10"/>
      <c r="D8" s="10"/>
      <c r="E8" s="10"/>
      <c r="F8" s="10"/>
      <c r="G8" s="10"/>
      <c r="H8" s="10"/>
    </row>
    <row r="10" customFormat="false" ht="16.15" hidden="false" customHeight="false" outlineLevel="0" collapsed="false">
      <c r="A10" s="1" t="s">
        <v>59</v>
      </c>
    </row>
    <row r="11" customFormat="false" ht="24" hidden="false" customHeight="true" outlineLevel="0" collapsed="false">
      <c r="A11" s="10" t="s">
        <v>60</v>
      </c>
      <c r="B11" s="10"/>
      <c r="C11" s="10"/>
      <c r="D11" s="10"/>
      <c r="E11" s="10"/>
      <c r="F11" s="10"/>
      <c r="G11" s="10"/>
      <c r="H11" s="10"/>
    </row>
    <row r="12" customFormat="false" ht="24" hidden="false" customHeight="true" outlineLevel="0" collapsed="false">
      <c r="A12" s="10" t="s">
        <v>61</v>
      </c>
      <c r="B12" s="10"/>
      <c r="C12" s="10"/>
      <c r="D12" s="10"/>
      <c r="E12" s="10"/>
      <c r="F12" s="10"/>
      <c r="G12" s="10"/>
      <c r="H12" s="10"/>
    </row>
    <row r="13" customFormat="false" ht="24" hidden="false" customHeight="true" outlineLevel="0" collapsed="false">
      <c r="A13" s="10" t="s">
        <v>62</v>
      </c>
      <c r="B13" s="10"/>
      <c r="C13" s="10"/>
      <c r="D13" s="10"/>
      <c r="E13" s="10"/>
      <c r="F13" s="10"/>
      <c r="G13" s="10"/>
      <c r="H13" s="10"/>
    </row>
    <row r="14" customFormat="false" ht="24" hidden="false" customHeight="true" outlineLevel="0" collapsed="false">
      <c r="A14" s="10" t="s">
        <v>63</v>
      </c>
      <c r="B14" s="10"/>
      <c r="C14" s="10"/>
      <c r="D14" s="10"/>
      <c r="E14" s="10"/>
      <c r="F14" s="10"/>
      <c r="G14" s="10"/>
      <c r="H14" s="10"/>
    </row>
    <row r="15" customFormat="false" ht="24" hidden="false" customHeight="true" outlineLevel="0" collapsed="false">
      <c r="A15" s="10" t="s">
        <v>64</v>
      </c>
      <c r="B15" s="10"/>
      <c r="C15" s="10"/>
      <c r="D15" s="10"/>
      <c r="E15" s="10"/>
      <c r="F15" s="10"/>
      <c r="G15" s="10"/>
      <c r="H15" s="10"/>
    </row>
  </sheetData>
  <mergeCells count="11">
    <mergeCell ref="A3:H3"/>
    <mergeCell ref="A4:H4"/>
    <mergeCell ref="A5:H5"/>
    <mergeCell ref="A6:H6"/>
    <mergeCell ref="A7:H7"/>
    <mergeCell ref="A8:H8"/>
    <mergeCell ref="A11:H11"/>
    <mergeCell ref="A12:H12"/>
    <mergeCell ref="A13:H13"/>
    <mergeCell ref="A14:H14"/>
    <mergeCell ref="A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" t="s">
        <v>65</v>
      </c>
    </row>
    <row r="3" customFormat="false" ht="15" hidden="false" customHeight="false" outlineLevel="0" collapsed="false">
      <c r="A3" s="15" t="s">
        <v>66</v>
      </c>
    </row>
    <row r="4" customFormat="false" ht="15" hidden="false" customHeight="false" outlineLevel="0" collapsed="false">
      <c r="A4" s="0" t="s">
        <v>67</v>
      </c>
      <c r="B4" s="0" t="n">
        <v>1</v>
      </c>
      <c r="C4" s="0" t="n">
        <v>16</v>
      </c>
      <c r="D4" s="0" t="n">
        <v>64</v>
      </c>
    </row>
    <row r="5" customFormat="false" ht="15" hidden="false" customHeight="false" outlineLevel="0" collapsed="false">
      <c r="A5" s="0" t="s">
        <v>68</v>
      </c>
      <c r="B5" s="0" t="n">
        <v>0.386</v>
      </c>
      <c r="C5" s="0" t="n">
        <v>2.111</v>
      </c>
      <c r="D5" s="0" t="n">
        <v>3.144</v>
      </c>
    </row>
    <row r="6" customFormat="false" ht="15" hidden="false" customHeight="false" outlineLevel="0" collapsed="false">
      <c r="A6" s="0" t="s">
        <v>69</v>
      </c>
      <c r="B6" s="0" t="n">
        <v>0.38</v>
      </c>
      <c r="C6" s="0" t="n">
        <v>2.242</v>
      </c>
      <c r="D6" s="0" t="n">
        <v>3.039</v>
      </c>
    </row>
    <row r="7" customFormat="false" ht="15" hidden="false" customHeight="false" outlineLevel="0" collapsed="false">
      <c r="A7" s="0" t="s">
        <v>70</v>
      </c>
      <c r="B7" s="0" t="n">
        <v>0.381</v>
      </c>
      <c r="C7" s="0" t="n">
        <v>2.238</v>
      </c>
      <c r="D7" s="0" t="n">
        <v>3.123</v>
      </c>
    </row>
    <row r="8" customFormat="false" ht="15" hidden="false" customHeight="false" outlineLevel="0" collapsed="false">
      <c r="A8" s="0" t="s">
        <v>71</v>
      </c>
      <c r="B8" s="0" t="n">
        <v>0.404</v>
      </c>
      <c r="C8" s="0" t="n">
        <v>3.316</v>
      </c>
      <c r="D8" s="0" t="n">
        <v>6.141</v>
      </c>
    </row>
    <row r="9" customFormat="false" ht="15" hidden="false" customHeight="false" outlineLevel="0" collapsed="false">
      <c r="A9" s="0" t="s">
        <v>72</v>
      </c>
      <c r="B9" s="0" t="n">
        <v>2.2</v>
      </c>
      <c r="C9" s="0" t="n">
        <v>2.2</v>
      </c>
      <c r="D9" s="0" t="n">
        <v>2.2</v>
      </c>
    </row>
    <row r="10" customFormat="false" ht="15" hidden="false" customHeight="false" outlineLevel="0" collapsed="false">
      <c r="A10" s="0" t="s">
        <v>73</v>
      </c>
      <c r="B10" s="0" t="n">
        <v>4.4</v>
      </c>
      <c r="C10" s="0" t="n">
        <v>4.4</v>
      </c>
      <c r="D10" s="0" t="n">
        <v>4.4</v>
      </c>
    </row>
    <row r="12" customFormat="false" ht="15" hidden="false" customHeight="false" outlineLevel="0" collapsed="false">
      <c r="A12" s="15" t="s">
        <v>74</v>
      </c>
    </row>
    <row r="13" customFormat="false" ht="15" hidden="false" customHeight="false" outlineLevel="0" collapsed="false">
      <c r="A13" s="0" t="s">
        <v>67</v>
      </c>
      <c r="B13" s="0" t="n">
        <v>1</v>
      </c>
      <c r="C13" s="0" t="n">
        <v>16</v>
      </c>
      <c r="D13" s="0" t="n">
        <v>64</v>
      </c>
    </row>
    <row r="14" customFormat="false" ht="15" hidden="false" customHeight="false" outlineLevel="0" collapsed="false">
      <c r="A14" s="0" t="s">
        <v>68</v>
      </c>
      <c r="B14" s="0" t="n">
        <v>0.116</v>
      </c>
      <c r="C14" s="0" t="n">
        <v>0.683</v>
      </c>
      <c r="D14" s="0" t="n">
        <v>0.876</v>
      </c>
    </row>
    <row r="15" customFormat="false" ht="15" hidden="false" customHeight="false" outlineLevel="0" collapsed="false">
      <c r="A15" s="0" t="s">
        <v>69</v>
      </c>
      <c r="B15" s="0" t="n">
        <v>0.115</v>
      </c>
      <c r="C15" s="0" t="n">
        <v>0.703</v>
      </c>
      <c r="D15" s="0" t="n">
        <v>1.062</v>
      </c>
    </row>
    <row r="16" customFormat="false" ht="15" hidden="false" customHeight="false" outlineLevel="0" collapsed="false">
      <c r="A16" s="0" t="s">
        <v>70</v>
      </c>
      <c r="B16" s="0" t="n">
        <v>0.117</v>
      </c>
      <c r="C16" s="0" t="n">
        <v>0.656</v>
      </c>
      <c r="D16" s="0" t="n">
        <v>1.057</v>
      </c>
    </row>
    <row r="17" customFormat="false" ht="15" hidden="false" customHeight="false" outlineLevel="0" collapsed="false">
      <c r="A17" s="0" t="s">
        <v>71</v>
      </c>
      <c r="B17" s="0" t="n">
        <v>0.115</v>
      </c>
      <c r="C17" s="0" t="n">
        <v>0.658</v>
      </c>
      <c r="D17" s="0" t="n">
        <v>1.069</v>
      </c>
    </row>
    <row r="18" customFormat="false" ht="15" hidden="false" customHeight="false" outlineLevel="0" collapsed="false">
      <c r="A18" s="0" t="s">
        <v>75</v>
      </c>
      <c r="B18" s="0" t="n">
        <v>1</v>
      </c>
      <c r="C18" s="0" t="n">
        <v>1</v>
      </c>
      <c r="D18" s="0" t="n">
        <v>1</v>
      </c>
    </row>
    <row r="19" customFormat="false" ht="15" hidden="false" customHeight="false" outlineLevel="0" collapsed="false">
      <c r="A19" s="0" t="s">
        <v>76</v>
      </c>
      <c r="B19" s="0" t="n">
        <v>2</v>
      </c>
      <c r="C19" s="0" t="n">
        <v>2</v>
      </c>
      <c r="D19" s="0" t="n">
        <v>2</v>
      </c>
    </row>
    <row r="21" customFormat="false" ht="15" hidden="false" customHeight="false" outlineLevel="0" collapsed="false">
      <c r="A21" s="15" t="s">
        <v>77</v>
      </c>
    </row>
    <row r="22" customFormat="false" ht="15" hidden="false" customHeight="false" outlineLevel="0" collapsed="false">
      <c r="A22" s="0" t="s">
        <v>67</v>
      </c>
      <c r="B22" s="0" t="n">
        <v>1</v>
      </c>
      <c r="C22" s="0" t="n">
        <v>16</v>
      </c>
      <c r="D22" s="0" t="n">
        <v>64</v>
      </c>
    </row>
    <row r="23" customFormat="false" ht="15" hidden="false" customHeight="false" outlineLevel="0" collapsed="false">
      <c r="A23" s="0" t="s">
        <v>78</v>
      </c>
      <c r="B23" s="0" t="n">
        <v>0.65</v>
      </c>
      <c r="C23" s="0" t="n">
        <v>4.24</v>
      </c>
      <c r="D23" s="0" t="n">
        <v>42.67</v>
      </c>
    </row>
    <row r="24" customFormat="false" ht="15" hidden="false" customHeight="false" outlineLevel="0" collapsed="false">
      <c r="A24" s="0" t="s">
        <v>79</v>
      </c>
      <c r="B24" s="0" t="n">
        <v>0.89</v>
      </c>
      <c r="C24" s="0" t="n">
        <v>8.71</v>
      </c>
      <c r="D24" s="0" t="n">
        <v>60.89</v>
      </c>
    </row>
    <row r="25" customFormat="false" ht="15" hidden="false" customHeight="false" outlineLevel="0" collapsed="false">
      <c r="A25" s="0" t="s">
        <v>80</v>
      </c>
      <c r="B25" s="0" t="n">
        <v>0.63</v>
      </c>
      <c r="C25" s="0" t="n">
        <v>3.99</v>
      </c>
      <c r="D25" s="0" t="n">
        <v>7.49</v>
      </c>
    </row>
    <row r="26" customFormat="false" ht="15" hidden="false" customHeight="false" outlineLevel="0" collapsed="false">
      <c r="A26" s="0" t="s">
        <v>81</v>
      </c>
      <c r="B26" s="0" t="n">
        <v>0.87</v>
      </c>
      <c r="C26" s="0" t="n">
        <v>8.43</v>
      </c>
      <c r="D26" s="0" t="n">
        <v>35.08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3" t="s">
        <v>82</v>
      </c>
    </row>
    <row r="60" customFormat="false" ht="15" hidden="false" customHeight="false" outlineLevel="0" collapsed="false">
      <c r="A60" s="15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2026-09-02T16:20:09Z</dcterms:created>
  <dc:creator>openpyxl</dc:creator>
  <dc:description/>
  <dc:language>en-US</dc:language>
  <cp:lastModifiedBy/>
  <dcterms:modified xsi:type="dcterms:W3CDTF">2026-09-02T16:20:14Z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